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D6EF4D1B-E20C-4684-A795-2E68BC086E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<sst xmlns="http://schemas.openxmlformats.org/spreadsheetml/2006/main" count="132" uniqueCount="118">
  <si>
    <t>beehiiv_utm_campaign</t>
  </si>
  <si>
    <t>beehiiv_utm_content</t>
  </si>
  <si>
    <t>beehiiv_utm_term</t>
  </si>
  <si>
    <t>Spend</t>
  </si>
  <si>
    <t>Sum of commission</t>
  </si>
  <si>
    <t>Approvals</t>
  </si>
  <si>
    <t>ROI</t>
  </si>
  <si>
    <t>Notes</t>
  </si>
  <si>
    <t>Take Action</t>
  </si>
  <si>
    <t>evergreen - website leads - dd lp - 05.2024 - excluding top creative</t>
  </si>
  <si>
    <t>broad - 3.31</t>
  </si>
  <si>
    <t>PR | SI | V1 | Daily Drop | TFM 147 | Text overlay | Couples | 6.28.2025</t>
  </si>
  <si>
    <t>Interests - Frequent Travel + Email - DD LP - 6.17 Creative</t>
  </si>
  <si>
    <t>PR | SI | V2 | Daily Drop | Multi Image | Social Proof | Multi Image + Text | DD LP | Evergreen | Read by Execs | 6.17.24 - Copy</t>
  </si>
  <si>
    <t>PR | SI | V3 | Daily Drop | Lifestyle | Testimonial | Simple Text | DD LP | Evergreen | When your friends think | 6.17.24 - Copy</t>
  </si>
  <si>
    <t>PR | VID | V6 | Daily Drop | TFM 164 | You Look Happier | 9.18.2025 - Copy</t>
  </si>
  <si>
    <t>evergreen - website leads - dd lp - 05.2024 - excluding top creative Total</t>
  </si>
  <si>
    <t>evergreen - website leads - dd lp - 07.2024</t>
  </si>
  <si>
    <t>Broad - female focused</t>
  </si>
  <si>
    <t>PR | VID | V1 | Daily Drop | TFM 145 | UGC | Husband Wife | Role Play Story | 6.27.2025 - Copy</t>
  </si>
  <si>
    <t>Interests - Female, married &amp; frequent Travel - ADV+</t>
  </si>
  <si>
    <t>PR | SI | V2 | Daily Drop | TFM 146 | UGC | Husband Wife | Role Play Story | 6.27.2025</t>
  </si>
  <si>
    <t>PR | VID | V1 | Daily Drop | DD LP | Evergreen | Husband Thinks | 6.10.2025</t>
  </si>
  <si>
    <t>PR | VID | V1 | Daily Drop | UGC | Value Prop | DD LP | Evergreen | Megan | My Husband Convinced Me | 9.12.2024</t>
  </si>
  <si>
    <t>evergreen - website leads - dd lp - 07.2024 Total</t>
  </si>
  <si>
    <t>ROI has dropped here. Beehiiv quality still looks pretty strong, but CPL has risen. I think we should scale back here.</t>
  </si>
  <si>
    <t>Y</t>
  </si>
  <si>
    <t>evergreen - website leads - dd lp - partnership ads - kara &amp; nate</t>
  </si>
  <si>
    <t>Partnership - Daily Drop + Kara &amp; Nate - Kara &amp; Nate FB Followers, IG followers, IG Engagers</t>
  </si>
  <si>
    <t>PR | SI | V3 | Kara And Nate + Daily Drop | DD LP | Evergreen | Friends Think | 8.6.2024 - Copy 2</t>
  </si>
  <si>
    <t>PR | SI | V3 | Kara And Nate + Daily Drop | DD LP | Evergreen | Kara | When your husband think | 6.27.24 - Copy</t>
  </si>
  <si>
    <t>Broad - High Credit Score Ads</t>
  </si>
  <si>
    <t>PR | VID | V2 | Daily Drop | Kara | Credit Card Company Secrets | Rolling Text Overlay | DD LP | High Credit Score | AI voiceover | 1.06.2026</t>
  </si>
  <si>
    <t>Partnership - Daily Drop + Kara &amp; Nate - Broad</t>
  </si>
  <si>
    <t>PR | VID | Nate | V1 | Kara And Nate + Daily Drop | DD LP | Evergreen | Welcome | 6.27.24</t>
  </si>
  <si>
    <t>PR | SI | V2 | Daily Drop + Kara &amp; Nate | Multi Image | Social Proof | Multi Image + Text | DD LP | Evergreen | Read by Execs | 11.24.2025</t>
  </si>
  <si>
    <t>PR | VID | V1 | Daily Drop + Kara &amp; Nate | DD LP | Evergreen | Travel like a Pro | 11.24.2025</t>
  </si>
  <si>
    <t>PR | VID | V1 | Kara and Nate + Daily Drop | TFM 130 | lText overlay | High Credit Score | 3.27.2025 - Copy</t>
  </si>
  <si>
    <t>Partnership - Daily Drop + Kara &amp; Nate - Kara &amp; Nate FB Followers, IG followers, IG Engagers - Top ROI Asset</t>
  </si>
  <si>
    <t>PR | VID | V1 | Kara and Nate + Daily Drop | TFM 130 | Text overlay | High Credit Score | 7.8.2025</t>
  </si>
  <si>
    <t>evergreen - website leads - dd lp - partnership ads - kara &amp; nate Total</t>
  </si>
  <si>
    <t>evergreen - website leads - dd lp - partnership ads - nomadic matt</t>
  </si>
  <si>
    <t>Partnership Test - Nomadic Matt + Daily Drop - Nomadic Matt IG Followers + 365 Engagers</t>
  </si>
  <si>
    <t>PR | VID | V1 | Nomadic Matt + Daily Drop | DD LP | Evergreen | Partnership Ad | 3 ways | 3.2.2024</t>
  </si>
  <si>
    <t>PR | VID | V1 | Nomadic Matt + Daily Drop | DD LP | Evergreen | Partnership Ad | Everyday 1.5m | 12.8.2025</t>
  </si>
  <si>
    <t>I think we shoudl kill this asset.</t>
  </si>
  <si>
    <t>evergreen - website leads - dd lp - partnership ads - nomadic matt Total</t>
  </si>
  <si>
    <t>Campaign still looking good, probably need a new round of creative?</t>
  </si>
  <si>
    <t>evergreen - website leads - dd lp - partnership ads - professional traveler</t>
  </si>
  <si>
    <t>Partnership - Professional Traveler + Daily Drop - Professional Traveler Engagers</t>
  </si>
  <si>
    <t>PR | SI | V1 | Pro Traveler | Daily Drop | First Class | Husband Thinks | Simple Text | DD LP | Partnership Ad | 12.15.25</t>
  </si>
  <si>
    <t>PR | VID | V1 | Pro Traveler + Daily Drop | First Class | Value Prop | Simple Text | DD LP | Partnership Ad | right first card | 12.15.25</t>
  </si>
  <si>
    <t>PR | VID | V3 | Pro Traveler + Daily Drop | First Class | FOMO | Simple Text | DD LP | Partnership Ad | here's a secret | 12.15.25</t>
  </si>
  <si>
    <t>PR | VID | V4 | Pro Traveler + Daily Drop | Resort | Life Hack | Simple Text | DD LP | Partnership Ad | 12.15.25</t>
  </si>
  <si>
    <t>evergreen - website leads - dd lp - partnership ads - professional traveler Total</t>
  </si>
  <si>
    <t>Not seeing anything come through for the Broad audience yet, thinking we have spent enough here and should kill that and let the overall budget for this campaign be lower</t>
  </si>
  <si>
    <t>evergreen - website leads - dd lp - partnership ads - retirement traveler</t>
  </si>
  <si>
    <t>Partnership - Retirement Traveler + Daily Drop - Broad</t>
  </si>
  <si>
    <t>PR | VID | V1 | Retirement Traveler + Daily Drop | UGC | Landmark | POV | Text Overlay | DD LP | Retiree | 1.26.2026 - Copy</t>
  </si>
  <si>
    <t>Partnership - Retirement Traveler + Daily Drop - Retirement Traveler IG Followers + 365 Engagers</t>
  </si>
  <si>
    <t>PR | SI | V2 | Retirement Traveler + Daily Drop | UGC | Mountain | Husband Thinks | Text Overlay | DD LP | Retiree | 1.26.2026</t>
  </si>
  <si>
    <t>PR | VID | V1 | Retirement Traveler + Daily Drop | UGC | Landmark | Husband Thinks | Text Overlay | DD LP | Retiree | 1.26.2026</t>
  </si>
  <si>
    <t>PR | VID | V1 | Retirement Traveler + Daily Drop | UGC | Travel Montage | 3 Ways | Rolling Text Overlay | DD LP | Retiree | Voiceover | 1.26.2026</t>
  </si>
  <si>
    <t>evergreen - website leads - dd lp - partnership ads - retirement traveler Total</t>
  </si>
  <si>
    <t>ROI looking really strong here, room to scale. Can keep some budget in Broad but seems like the ROI is in the engagers, shift budget from broad to engagers</t>
  </si>
  <si>
    <t>evergreen - website leads - dd lp - tfm - creative testing - 1.2026</t>
  </si>
  <si>
    <t>Broad - TFM 007 - static - Couple Iteration</t>
  </si>
  <si>
    <t>PR | SI | V2 | Daily Drop | TFM 007 | Kara and Nate | Problem/Solution | Listicle | DD LP | Tired of Economy | 12.9.2025</t>
  </si>
  <si>
    <t>Broad - TFM 176 - static - Feature Breakdown in clouds</t>
  </si>
  <si>
    <t>PR | SI | V4 | Daily Drop | TFM 176 | Graphic | Value Prop | DD LP | Clouds | 12.9.2025</t>
  </si>
  <si>
    <t>Broad - TFM 185 - CAR - Benefits</t>
  </si>
  <si>
    <t>PR | CAR | V1 | Daily Drop | TFM 185 | Kara and Nate | Graphic | Secrets | Text Overlay | DD LP | Couple Traveler | 3 secrets | 1.20.2026</t>
  </si>
  <si>
    <t>Broad - TFM 194 - image - tweet with picture</t>
  </si>
  <si>
    <t>PR | SI | V2 | Daily Drop | TFM 194 | Kara | Plane | Meme | Text and Frame | DD LP | Newbie | Tweet | 2.3.2026</t>
  </si>
  <si>
    <t>This CPL was really high in the testing environment, but looks like we've had 2 approvals come through. Probably not the right time to relaunch this given our current performance but should revisit potentially in the testing environment or high ROI campaign</t>
  </si>
  <si>
    <t>In the future</t>
  </si>
  <si>
    <t>PR | SI | V3 | Daily Drop | TFM 194 | Kara | Lounge | Meme | Text and Frame | DD LP | Newbie | Tweet | 2.3.2026</t>
  </si>
  <si>
    <t>evergreen - website leads - dd lp - tfm - creative testing - 1.2026 Total</t>
  </si>
  <si>
    <t>evergreen - website leads - high credit score - 07.2025</t>
  </si>
  <si>
    <t>PR | VID | V1 | Daily Drop | DD LP | Evergreen | CC Companies Won't Tell You | 8.8.2025</t>
  </si>
  <si>
    <t>PR | VID | V1 | Daily Drop | DD LP | Evergreen | Kara | Credit Card Company Secrets | 6.12.2025</t>
  </si>
  <si>
    <t>PR | VID | V4 | Daily Drop | TFM 130 | Text overlay | High Credit Score | 3.27.2025</t>
  </si>
  <si>
    <t>evergreen - website leads - high credit score - 07.2025 Total</t>
  </si>
  <si>
    <t>CPL has gotten really high here. Quality still looks good in beehiiv and ROI is pretty good, but wondering if we should pull back spend a little while the account recovers?</t>
  </si>
  <si>
    <t>evergreen - website leads - lal - business credit card approvals - 9.19.2024</t>
  </si>
  <si>
    <t>(1%) LAL - Business Card Approvals 6.13.2025</t>
  </si>
  <si>
    <t>PR | SI | V1 | Daily Drop | Text | Value Prop | DD LP | Evergreen | Before and After | 8.8.2024</t>
  </si>
  <si>
    <t>evergreen - website leads - lal - business credit card approvals - 9.19.2024 Total</t>
  </si>
  <si>
    <t>evergreen - website leads - luxury - 07.2025</t>
  </si>
  <si>
    <t>Broad - Luxury</t>
  </si>
  <si>
    <t>PR | SI | V2 | Daily Drop | DD LP | Evergreen | Luxury | Before &amp; After | 7.24.2025</t>
  </si>
  <si>
    <t>PR | VID | V1 | Plane | Meme | Text and Frame | Evergreen | Get a seat like this | DD LP | 2.8.2024 - Copy</t>
  </si>
  <si>
    <t>Broad - Luxury - excluding top creative - 1.16.2025</t>
  </si>
  <si>
    <t>PR | VID | V1 | Daily Drop | TFM | DCT 110.4 | 5 star vacation for 2 star price | Text and Frame | Evergreen | 12.2.24</t>
  </si>
  <si>
    <t>evergreen - website leads - luxury - 07.2025 Total</t>
  </si>
  <si>
    <t>Keep an eye on TFM 160, decent spend with no monetization</t>
  </si>
  <si>
    <t>evergreen - website leads - miles and points newbie - 10.2025</t>
  </si>
  <si>
    <t>LAL (3%) - Daily Drop CSP Cardholders- miles and points newbie</t>
  </si>
  <si>
    <t>PR | SI | V1 |  Daily Drop | Multi Image | DD LP | Evergreen | Morning Email for | Smart | 8.4.2025 - Copy</t>
  </si>
  <si>
    <t>PR | VID | V6 | Daily Drop | TFM 166 | Points Skeptic | 9.18.2025</t>
  </si>
  <si>
    <t>LAL (6%) - Daily Drop CSP Cardholders- miles and points newbie</t>
  </si>
  <si>
    <t>PR | SI | V4 | Daily Drop | DD LP | Evergreen | Mike | Hot Take | 12.9.2025</t>
  </si>
  <si>
    <t>evergreen - website leads - miles and points newbie - 10.2025 Total</t>
  </si>
  <si>
    <t>evergreen - website leads - retiree ads</t>
  </si>
  <si>
    <t>Broad - 2.4.2026 - Retiree</t>
  </si>
  <si>
    <t>PR | VID | V1 | Daily Drop | TFM | 118 | POV Retiree | 1.27.2025</t>
  </si>
  <si>
    <t>evergreen - website leads - retiree ads Total</t>
  </si>
  <si>
    <t>Campaign is off</t>
  </si>
  <si>
    <t>evergreen - website leads - top roi ad assets - 01.2026</t>
  </si>
  <si>
    <t>Broad - "PR | SI | V1 | Daily Drop | Text | Value Prop | DD LP | Evergreen | Before and After | 8.8.2024"</t>
  </si>
  <si>
    <t>Scale</t>
  </si>
  <si>
    <t>Broad - "PR | VID | V1 | Daily Drop | UGC | Value Prop | DD LP | Evergreen | Megan | My Husband Convinced Me | 9.12.2024"</t>
  </si>
  <si>
    <t>ROI here isn't great, thinking we shoudl kill this?</t>
  </si>
  <si>
    <t>PR | SI | V1 | Daily Drop | DD LP | Evergreen | Before &amp; After | Polaroid | 12.11.2025</t>
  </si>
  <si>
    <t>Off</t>
  </si>
  <si>
    <t>evergreen - website leads - top roi ad assets - 01.2026 Total</t>
  </si>
  <si>
    <t>Get 130 live here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</si>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</sst>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0" xfId="0" applyFont="1"/>
    <xf numFmtId="164" fontId="2" fillId="3" borderId="0" xfId="0" applyNumberFormat="1" applyFont="1" applyFill="1" applyAlignment="1">
      <alignment horizontal="left" vertical="center"/>
    </xf>
    <xf numFmtId="164" fontId="0" fillId="0" borderId="0" xfId="0" applyNumberFormat="1"/>
    <xf numFmtId="2" fontId="0" fillId="0" borderId="0" xfId="0" applyNumberFormat="1"/>
    <xf numFmtId="0" fontId="1" fillId="0" borderId="2" xfId="0" applyFont="1" applyBorder="1"/>
    <xf numFmtId="164" fontId="1" fillId="0" borderId="2" xfId="0" applyNumberFormat="1" applyFont="1" applyBorder="1"/>
    <xf numFmtId="2" fontId="1" fillId="0" borderId="0" xfId="0" applyNumberFormat="1" applyFont="1"/>
    <xf numFmtId="2" fontId="2" fillId="3" borderId="0" xfId="0" applyNumberFormat="1" applyFont="1" applyFill="1" applyAlignment="1">
      <alignment horizontal="left" vertical="center"/>
    </xf>
    <xf numFmtId="2" fontId="2" fillId="3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/>
    <xf numFmtId="164" fontId="1" fillId="2" borderId="4" xfId="0" applyNumberFormat="1" applyFont="1" applyFill="1" applyBorder="1"/>
    <xf numFmtId="2" fontId="1" fillId="4" borderId="0" xfId="0" applyNumberFormat="1" applyFont="1" applyFill="1"/>
    <xf numFmtId="2" fontId="0" fillId="4" borderId="0" xfId="0" applyNumberFormat="1" applyFill="1"/>
    <xf numFmtId="2" fontId="1" fillId="5" borderId="0" xfId="0" applyNumberFormat="1" applyFont="1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9" workbookViewId="0">
      <selection activeCell="D19" sqref="D19"/>
    </sheetView>
  </sheetViews>
  <sheetFormatPr defaultRowHeight="15"/>
  <cols>
    <col min="1" max="1" width="73.7109375" bestFit="1" customWidth="1"/>
    <col min="2" max="2" width="99.5703125" customWidth="1"/>
    <col min="3" max="3" width="113.7109375" customWidth="1"/>
    <col min="4" max="4" width="11.85546875" bestFit="1" customWidth="1"/>
    <col min="5" max="5" width="19.7109375" bestFit="1" customWidth="1"/>
    <col min="8" max="8" width="232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 t="s">
        <v>9</v>
      </c>
      <c r="B2" s="3" t="s">
        <v>10</v>
      </c>
      <c r="C2" t="s">
        <v>11</v>
      </c>
      <c r="D2" s="4">
        <v>45785.279999999999</v>
      </c>
      <c r="E2" s="5">
        <v>10660.5</v>
      </c>
      <c r="F2">
        <v>21</v>
      </c>
      <c r="G2" s="6">
        <f>E2/D2</f>
        <v>0.23283684188455331</v>
      </c>
    </row>
    <row r="3" spans="1:9">
      <c r="A3" s="3"/>
      <c r="B3" s="3" t="s">
        <v>12</v>
      </c>
      <c r="C3" t="s">
        <v>13</v>
      </c>
      <c r="D3" s="4">
        <v>12.51</v>
      </c>
      <c r="E3" s="5">
        <v>517.5</v>
      </c>
      <c r="F3">
        <v>1</v>
      </c>
      <c r="G3" s="6">
        <f>E3/D3</f>
        <v>41.366906474820148</v>
      </c>
    </row>
    <row r="4" spans="1:9">
      <c r="A4" s="3"/>
      <c r="B4" s="3"/>
      <c r="C4" t="s">
        <v>14</v>
      </c>
      <c r="D4" s="4">
        <v>3602.17</v>
      </c>
      <c r="E4" s="5">
        <v>1170</v>
      </c>
      <c r="F4">
        <v>2</v>
      </c>
      <c r="G4" s="6">
        <f>E4/D4</f>
        <v>0.3248042152369266</v>
      </c>
    </row>
    <row r="5" spans="1:9">
      <c r="A5" s="3"/>
      <c r="B5" s="3"/>
      <c r="C5" t="s">
        <v>15</v>
      </c>
      <c r="D5" s="4">
        <v>2873.98</v>
      </c>
      <c r="E5" s="5">
        <v>517.5</v>
      </c>
      <c r="F5">
        <v>1</v>
      </c>
      <c r="G5" s="6">
        <f>E5/D5</f>
        <v>0.18006388353433217</v>
      </c>
    </row>
    <row r="6" spans="1:9">
      <c r="A6" s="7" t="s">
        <v>16</v>
      </c>
      <c r="B6" s="7"/>
      <c r="C6" s="7"/>
      <c r="D6" s="4">
        <v>52619.81</v>
      </c>
      <c r="E6" s="8">
        <v>13900.5</v>
      </c>
      <c r="F6" s="7">
        <v>27</v>
      </c>
      <c r="G6" s="9">
        <f>E6/D6</f>
        <v>0.26416857073410188</v>
      </c>
    </row>
    <row r="7" spans="1:9">
      <c r="A7" s="3" t="s">
        <v>17</v>
      </c>
      <c r="B7" s="3" t="s">
        <v>18</v>
      </c>
      <c r="C7" t="s">
        <v>19</v>
      </c>
      <c r="D7" s="4">
        <v>5624.78</v>
      </c>
      <c r="E7" s="5">
        <v>1305</v>
      </c>
      <c r="F7">
        <v>2</v>
      </c>
      <c r="G7" s="6">
        <f>E7/D7</f>
        <v>0.23200907413267721</v>
      </c>
    </row>
    <row r="8" spans="1:9">
      <c r="A8" s="3"/>
      <c r="B8" s="3" t="s">
        <v>20</v>
      </c>
      <c r="C8" t="s">
        <v>21</v>
      </c>
      <c r="D8" s="4">
        <v>16129.54</v>
      </c>
      <c r="E8" s="5">
        <v>2875.5</v>
      </c>
      <c r="F8">
        <v>7</v>
      </c>
      <c r="G8" s="6">
        <f>E8/D8</f>
        <v>0.1782753878907892</v>
      </c>
    </row>
    <row r="9" spans="1:9">
      <c r="A9" s="3"/>
      <c r="B9" s="3"/>
      <c r="C9" t="s">
        <v>22</v>
      </c>
      <c r="D9" s="4">
        <v>18672.29</v>
      </c>
      <c r="E9" s="5">
        <v>3006</v>
      </c>
      <c r="F9">
        <v>6</v>
      </c>
      <c r="G9" s="6">
        <f>E9/D9</f>
        <v>0.16098721688662718</v>
      </c>
    </row>
    <row r="10" spans="1:9">
      <c r="A10" s="3"/>
      <c r="B10" s="3"/>
      <c r="C10" t="s">
        <v>23</v>
      </c>
      <c r="D10" s="4">
        <v>2078.5100000000002</v>
      </c>
      <c r="E10" s="5">
        <v>693</v>
      </c>
      <c r="F10">
        <v>2</v>
      </c>
      <c r="G10" s="6">
        <f>E10/D10</f>
        <v>0.33341191526622432</v>
      </c>
    </row>
    <row r="11" spans="1:9">
      <c r="A11" s="7" t="s">
        <v>24</v>
      </c>
      <c r="B11" s="7"/>
      <c r="C11" s="7"/>
      <c r="D11" s="4">
        <v>46228.58</v>
      </c>
      <c r="E11" s="8">
        <v>7879.5</v>
      </c>
      <c r="F11" s="7">
        <v>17</v>
      </c>
      <c r="G11" s="16">
        <f>E11/D11</f>
        <v>0.17044650733377489</v>
      </c>
      <c r="H11" t="s">
        <v>25</v>
      </c>
      <c r="I11" t="s">
        <v>26</v>
      </c>
    </row>
    <row r="12" spans="1:9">
      <c r="A12" s="3" t="s">
        <v>27</v>
      </c>
      <c r="B12" s="3" t="s">
        <v>28</v>
      </c>
      <c r="C12" t="s">
        <v>29</v>
      </c>
      <c r="D12" s="4">
        <v>867.83</v>
      </c>
      <c r="E12" s="5">
        <v>630</v>
      </c>
      <c r="F12">
        <v>2</v>
      </c>
      <c r="G12" s="15">
        <f>E12/D12</f>
        <v>0.72594863049214708</v>
      </c>
    </row>
    <row r="13" spans="1:9">
      <c r="A13" s="3"/>
      <c r="B13" s="3"/>
      <c r="C13" t="s">
        <v>30</v>
      </c>
      <c r="D13" s="4">
        <v>24789.75</v>
      </c>
      <c r="E13" s="5">
        <v>7960.5</v>
      </c>
      <c r="F13">
        <v>15</v>
      </c>
      <c r="G13" s="15">
        <f>E13/D13</f>
        <v>0.3211206244516383</v>
      </c>
    </row>
    <row r="14" spans="1:9">
      <c r="A14" s="3"/>
      <c r="B14" s="3" t="s">
        <v>31</v>
      </c>
      <c r="C14" t="s">
        <v>32</v>
      </c>
      <c r="D14" s="5"/>
      <c r="E14" s="5">
        <v>517.5</v>
      </c>
      <c r="F14">
        <v>1</v>
      </c>
      <c r="G14" s="6" t="e">
        <f>E14/D14</f>
        <v>#DIV/0!</v>
      </c>
    </row>
    <row r="15" spans="1:9">
      <c r="A15" s="3"/>
      <c r="B15" s="3" t="s">
        <v>33</v>
      </c>
      <c r="C15" t="s">
        <v>34</v>
      </c>
      <c r="D15" s="4">
        <v>2180.84</v>
      </c>
      <c r="E15" s="5">
        <v>652.5</v>
      </c>
      <c r="F15">
        <v>1</v>
      </c>
      <c r="G15" s="15">
        <f>E15/D15</f>
        <v>0.29919663982685568</v>
      </c>
    </row>
    <row r="16" spans="1:9">
      <c r="A16" s="3"/>
      <c r="B16" s="3" t="s">
        <v>28</v>
      </c>
      <c r="C16" t="s">
        <v>35</v>
      </c>
      <c r="D16" s="4">
        <v>2318.6</v>
      </c>
      <c r="E16" s="5">
        <v>40.5</v>
      </c>
      <c r="F16">
        <v>1</v>
      </c>
      <c r="G16" s="6">
        <f>E16/D16</f>
        <v>1.7467437246614335E-2</v>
      </c>
    </row>
    <row r="17" spans="1:9">
      <c r="A17" s="3"/>
      <c r="B17" s="3"/>
      <c r="C17" t="s">
        <v>36</v>
      </c>
      <c r="D17" s="4">
        <v>3084.75</v>
      </c>
      <c r="E17" s="5">
        <v>1552.5</v>
      </c>
      <c r="F17">
        <v>3</v>
      </c>
      <c r="G17" s="15">
        <f>E17/D17</f>
        <v>0.50328227571115969</v>
      </c>
    </row>
    <row r="18" spans="1:9">
      <c r="A18" s="3"/>
      <c r="B18" s="3"/>
      <c r="C18" t="s">
        <v>37</v>
      </c>
      <c r="D18" s="4">
        <v>267.98</v>
      </c>
      <c r="E18" s="5">
        <v>517.5</v>
      </c>
      <c r="F18">
        <v>1</v>
      </c>
      <c r="G18" s="15">
        <f>E18/D18</f>
        <v>1.9311142622583775</v>
      </c>
    </row>
    <row r="19" spans="1:9">
      <c r="A19" s="3"/>
      <c r="B19" s="3" t="s">
        <v>38</v>
      </c>
      <c r="C19" t="s">
        <v>39</v>
      </c>
      <c r="D19" s="4">
        <v>3707.16</v>
      </c>
      <c r="E19" s="5">
        <v>1831.5</v>
      </c>
      <c r="F19">
        <v>5</v>
      </c>
      <c r="G19" s="15">
        <f>E19/D19</f>
        <v>0.4940439581782281</v>
      </c>
    </row>
    <row r="20" spans="1:9">
      <c r="A20" s="7" t="s">
        <v>40</v>
      </c>
      <c r="B20" s="7"/>
      <c r="C20" s="7"/>
      <c r="D20" s="4">
        <v>40655.32</v>
      </c>
      <c r="E20" s="8">
        <v>13702.5</v>
      </c>
      <c r="F20" s="7">
        <v>29</v>
      </c>
      <c r="G20" s="14">
        <f>E20/D20</f>
        <v>0.33704076120911114</v>
      </c>
    </row>
    <row r="21" spans="1:9">
      <c r="A21" s="3" t="s">
        <v>41</v>
      </c>
      <c r="B21" s="3" t="s">
        <v>42</v>
      </c>
      <c r="C21" t="s">
        <v>43</v>
      </c>
      <c r="D21" s="4">
        <v>18885.189999999999</v>
      </c>
      <c r="E21" s="5">
        <v>8077.5</v>
      </c>
      <c r="F21">
        <v>16</v>
      </c>
      <c r="G21" s="6">
        <f>E21/D21</f>
        <v>0.42771610981938762</v>
      </c>
    </row>
    <row r="22" spans="1:9">
      <c r="A22" s="3"/>
      <c r="B22" s="3"/>
      <c r="C22" t="s">
        <v>44</v>
      </c>
      <c r="D22" s="4">
        <v>3786.28</v>
      </c>
      <c r="E22" s="5">
        <v>49.5</v>
      </c>
      <c r="F22">
        <v>1</v>
      </c>
      <c r="G22" s="17">
        <f>E22/D22</f>
        <v>1.3073518070507198E-2</v>
      </c>
      <c r="H22" t="s">
        <v>45</v>
      </c>
      <c r="I22" t="s">
        <v>26</v>
      </c>
    </row>
    <row r="23" spans="1:9">
      <c r="A23" s="7" t="s">
        <v>46</v>
      </c>
      <c r="B23" s="7"/>
      <c r="C23" s="7"/>
      <c r="D23" s="4">
        <v>25688.37</v>
      </c>
      <c r="E23" s="8">
        <v>8127</v>
      </c>
      <c r="F23" s="7">
        <v>17</v>
      </c>
      <c r="G23" s="14">
        <f>E23/D23</f>
        <v>0.31636884706970508</v>
      </c>
      <c r="H23" t="s">
        <v>47</v>
      </c>
      <c r="I23" t="s">
        <v>26</v>
      </c>
    </row>
    <row r="24" spans="1:9">
      <c r="A24" s="3" t="s">
        <v>48</v>
      </c>
      <c r="B24" s="3" t="s">
        <v>49</v>
      </c>
      <c r="C24" t="s">
        <v>50</v>
      </c>
      <c r="D24" s="4">
        <v>9433.1299999999992</v>
      </c>
      <c r="E24" s="5">
        <v>967.5</v>
      </c>
      <c r="F24">
        <v>2</v>
      </c>
      <c r="G24" s="6">
        <f>E24/D24</f>
        <v>0.10256404820033224</v>
      </c>
    </row>
    <row r="25" spans="1:9">
      <c r="A25" s="3"/>
      <c r="B25" s="3"/>
      <c r="C25" t="s">
        <v>51</v>
      </c>
      <c r="D25" s="4">
        <v>3206.95</v>
      </c>
      <c r="E25" s="5">
        <v>1210.5</v>
      </c>
      <c r="F25">
        <v>3</v>
      </c>
      <c r="G25" s="15">
        <f>E25/D25</f>
        <v>0.37746145091130201</v>
      </c>
    </row>
    <row r="26" spans="1:9">
      <c r="A26" s="3"/>
      <c r="B26" s="3"/>
      <c r="C26" t="s">
        <v>52</v>
      </c>
      <c r="D26" s="4">
        <v>2922.78</v>
      </c>
      <c r="E26" s="5">
        <v>517.5</v>
      </c>
      <c r="F26">
        <v>1</v>
      </c>
      <c r="G26" s="6">
        <f>E26/D26</f>
        <v>0.17705745899451891</v>
      </c>
    </row>
    <row r="27" spans="1:9">
      <c r="A27" s="3"/>
      <c r="B27" s="3"/>
      <c r="C27" t="s">
        <v>53</v>
      </c>
      <c r="D27" s="4">
        <v>803.03</v>
      </c>
      <c r="E27" s="5">
        <v>517.5</v>
      </c>
      <c r="F27">
        <v>1</v>
      </c>
      <c r="G27" s="15">
        <f>E27/D27</f>
        <v>0.64443420544687002</v>
      </c>
    </row>
    <row r="28" spans="1:9">
      <c r="A28" s="7" t="s">
        <v>54</v>
      </c>
      <c r="B28" s="7"/>
      <c r="C28" s="7"/>
      <c r="D28" s="4">
        <v>22738.799999999999</v>
      </c>
      <c r="E28" s="8">
        <v>3730.5</v>
      </c>
      <c r="F28" s="7">
        <v>8</v>
      </c>
      <c r="G28" s="16">
        <f>E28/D28</f>
        <v>0.16405878938202545</v>
      </c>
      <c r="H28" t="s">
        <v>55</v>
      </c>
      <c r="I28" t="s">
        <v>26</v>
      </c>
    </row>
    <row r="29" spans="1:9">
      <c r="A29" s="3" t="s">
        <v>56</v>
      </c>
      <c r="B29" s="3" t="s">
        <v>57</v>
      </c>
      <c r="C29" t="s">
        <v>58</v>
      </c>
      <c r="D29" s="4">
        <v>17651.64</v>
      </c>
      <c r="E29" s="5">
        <v>4450.5</v>
      </c>
      <c r="F29">
        <v>9</v>
      </c>
      <c r="G29" s="6">
        <f>E29/D29</f>
        <v>0.25212954716955477</v>
      </c>
    </row>
    <row r="30" spans="1:9">
      <c r="A30" s="3"/>
      <c r="B30" s="3" t="s">
        <v>59</v>
      </c>
      <c r="C30" t="s">
        <v>60</v>
      </c>
      <c r="D30" s="4">
        <v>203.31</v>
      </c>
      <c r="E30" s="5">
        <v>450</v>
      </c>
      <c r="F30">
        <v>1</v>
      </c>
      <c r="G30" s="15">
        <f>E30/D30</f>
        <v>2.213368747233289</v>
      </c>
    </row>
    <row r="31" spans="1:9">
      <c r="A31" s="3"/>
      <c r="B31" s="3"/>
      <c r="C31" t="s">
        <v>61</v>
      </c>
      <c r="D31" s="4">
        <v>433.35</v>
      </c>
      <c r="E31" s="5">
        <v>517.5</v>
      </c>
      <c r="F31">
        <v>1</v>
      </c>
      <c r="G31" s="15">
        <f>E31/D31</f>
        <v>1.1941848390446521</v>
      </c>
    </row>
    <row r="32" spans="1:9">
      <c r="A32" s="3"/>
      <c r="B32" s="3"/>
      <c r="C32" t="s">
        <v>62</v>
      </c>
      <c r="D32" s="4">
        <v>9179.7099999999991</v>
      </c>
      <c r="E32" s="5">
        <v>6187.5</v>
      </c>
      <c r="F32">
        <v>13</v>
      </c>
      <c r="G32" s="15">
        <f>E32/D32</f>
        <v>0.67404090107421699</v>
      </c>
    </row>
    <row r="33" spans="1:9">
      <c r="A33" s="7" t="s">
        <v>63</v>
      </c>
      <c r="B33" s="7"/>
      <c r="C33" s="7"/>
      <c r="D33" s="4">
        <v>28339.82</v>
      </c>
      <c r="E33" s="8">
        <v>12123</v>
      </c>
      <c r="F33" s="7">
        <v>25</v>
      </c>
      <c r="G33" s="14">
        <f>E33/D33</f>
        <v>0.42777265346074889</v>
      </c>
      <c r="H33" t="s">
        <v>64</v>
      </c>
      <c r="I33" t="s">
        <v>26</v>
      </c>
    </row>
    <row r="34" spans="1:9">
      <c r="A34" s="3" t="s">
        <v>65</v>
      </c>
      <c r="B34" s="3" t="s">
        <v>66</v>
      </c>
      <c r="C34" t="s">
        <v>67</v>
      </c>
      <c r="D34" s="10">
        <v>767.75</v>
      </c>
      <c r="E34" s="5">
        <v>652.5</v>
      </c>
      <c r="F34">
        <v>1</v>
      </c>
      <c r="G34" s="6">
        <f>E34/D34</f>
        <v>0.8498860306089222</v>
      </c>
    </row>
    <row r="35" spans="1:9">
      <c r="A35" s="3"/>
      <c r="B35" s="3" t="s">
        <v>68</v>
      </c>
      <c r="C35" t="s">
        <v>69</v>
      </c>
      <c r="D35" s="10">
        <v>662.08</v>
      </c>
      <c r="E35" s="5">
        <v>517.5</v>
      </c>
      <c r="F35">
        <v>1</v>
      </c>
      <c r="G35" s="6">
        <f>E35/D35</f>
        <v>0.78162759787336877</v>
      </c>
    </row>
    <row r="36" spans="1:9">
      <c r="A36" s="3"/>
      <c r="B36" s="3" t="s">
        <v>70</v>
      </c>
      <c r="C36" t="s">
        <v>71</v>
      </c>
      <c r="D36" s="10">
        <v>267.27</v>
      </c>
      <c r="E36" s="5">
        <v>652.5</v>
      </c>
      <c r="F36">
        <v>1</v>
      </c>
      <c r="G36" s="6">
        <f>E36/D36</f>
        <v>2.4413514423616571</v>
      </c>
    </row>
    <row r="37" spans="1:9">
      <c r="A37" s="3"/>
      <c r="B37" s="3" t="s">
        <v>72</v>
      </c>
      <c r="C37" t="s">
        <v>73</v>
      </c>
      <c r="D37" s="10">
        <v>151.46</v>
      </c>
      <c r="E37" s="5">
        <v>517.5</v>
      </c>
      <c r="F37">
        <v>1</v>
      </c>
      <c r="G37" s="6">
        <f>E37/D37</f>
        <v>3.4167436947048726</v>
      </c>
      <c r="H37" t="s">
        <v>74</v>
      </c>
      <c r="I37" t="s">
        <v>75</v>
      </c>
    </row>
    <row r="38" spans="1:9">
      <c r="A38" s="3"/>
      <c r="B38" s="3"/>
      <c r="C38" t="s">
        <v>76</v>
      </c>
      <c r="D38" s="10">
        <v>267.24</v>
      </c>
      <c r="E38" s="5">
        <v>517.5</v>
      </c>
      <c r="F38">
        <v>1</v>
      </c>
      <c r="G38" s="6">
        <f>E38/D38</f>
        <v>1.9364616075437808</v>
      </c>
    </row>
    <row r="39" spans="1:9">
      <c r="A39" s="7" t="s">
        <v>77</v>
      </c>
      <c r="B39" s="7"/>
      <c r="C39" s="7"/>
      <c r="D39" s="10">
        <v>8203.56</v>
      </c>
      <c r="E39" s="8">
        <v>2857.5</v>
      </c>
      <c r="F39" s="7">
        <v>5</v>
      </c>
      <c r="G39" s="14">
        <f>E39/D39</f>
        <v>0.34832438599827392</v>
      </c>
    </row>
    <row r="40" spans="1:9">
      <c r="A40" s="3" t="s">
        <v>78</v>
      </c>
      <c r="B40" s="3" t="s">
        <v>31</v>
      </c>
      <c r="C40" t="s">
        <v>79</v>
      </c>
      <c r="D40" s="4">
        <v>1455.07</v>
      </c>
      <c r="E40" s="5">
        <v>517.5</v>
      </c>
      <c r="F40">
        <v>1</v>
      </c>
      <c r="G40" s="15">
        <f>E40/D40</f>
        <v>0.35565299263952938</v>
      </c>
    </row>
    <row r="41" spans="1:9">
      <c r="A41" s="3"/>
      <c r="B41" s="3"/>
      <c r="C41" t="s">
        <v>80</v>
      </c>
      <c r="D41" s="4">
        <v>32134.44</v>
      </c>
      <c r="E41" s="5">
        <v>9508.5</v>
      </c>
      <c r="F41">
        <v>18</v>
      </c>
      <c r="G41" s="15">
        <f>E41/D41</f>
        <v>0.29589748568825225</v>
      </c>
    </row>
    <row r="42" spans="1:9">
      <c r="A42" s="3"/>
      <c r="B42" s="3"/>
      <c r="C42" t="s">
        <v>32</v>
      </c>
      <c r="D42" s="4">
        <v>4902.99</v>
      </c>
      <c r="E42" s="5">
        <v>967.5</v>
      </c>
      <c r="F42">
        <v>2</v>
      </c>
      <c r="G42" s="6">
        <f>E42/D42</f>
        <v>0.19732856889367509</v>
      </c>
    </row>
    <row r="43" spans="1:9">
      <c r="A43" s="3"/>
      <c r="B43" s="3"/>
      <c r="C43" t="s">
        <v>81</v>
      </c>
      <c r="D43" s="4">
        <v>6192.55</v>
      </c>
      <c r="E43" s="5">
        <v>1035</v>
      </c>
      <c r="F43">
        <v>2</v>
      </c>
      <c r="G43" s="6">
        <f>E43/D43</f>
        <v>0.16713631702610393</v>
      </c>
    </row>
    <row r="44" spans="1:9">
      <c r="A44" s="7" t="s">
        <v>82</v>
      </c>
      <c r="B44" s="7"/>
      <c r="C44" s="7"/>
      <c r="D44" s="4">
        <v>45785.38</v>
      </c>
      <c r="E44" s="8">
        <v>12546</v>
      </c>
      <c r="F44" s="7">
        <v>24</v>
      </c>
      <c r="G44" s="9">
        <f>E44/D44</f>
        <v>0.27401760125175328</v>
      </c>
      <c r="H44" t="s">
        <v>83</v>
      </c>
      <c r="I44" t="s">
        <v>26</v>
      </c>
    </row>
    <row r="45" spans="1:9">
      <c r="A45" s="3" t="s">
        <v>84</v>
      </c>
      <c r="B45" s="3" t="s">
        <v>85</v>
      </c>
      <c r="C45" t="s">
        <v>86</v>
      </c>
      <c r="D45" s="10">
        <v>9170.92</v>
      </c>
      <c r="E45" s="5">
        <v>2070</v>
      </c>
      <c r="F45">
        <v>4</v>
      </c>
      <c r="G45" s="6">
        <f>E45/D45</f>
        <v>0.22571345077702129</v>
      </c>
    </row>
    <row r="46" spans="1:9">
      <c r="A46" s="3"/>
      <c r="B46" s="3"/>
      <c r="C46" t="s">
        <v>13</v>
      </c>
      <c r="D46" s="10">
        <v>5414.75</v>
      </c>
      <c r="E46" s="5">
        <v>1800</v>
      </c>
      <c r="F46">
        <v>4</v>
      </c>
      <c r="G46" s="15">
        <f>E46/D46</f>
        <v>0.3324253197285193</v>
      </c>
    </row>
    <row r="47" spans="1:9">
      <c r="A47" s="7" t="s">
        <v>87</v>
      </c>
      <c r="B47" s="7"/>
      <c r="C47" s="7"/>
      <c r="D47" s="10">
        <v>16597.78</v>
      </c>
      <c r="E47" s="8">
        <v>3870</v>
      </c>
      <c r="F47" s="7">
        <v>8</v>
      </c>
      <c r="G47" s="9">
        <f>E47/D47</f>
        <v>0.23316371225549443</v>
      </c>
    </row>
    <row r="48" spans="1:9">
      <c r="A48" s="3" t="s">
        <v>88</v>
      </c>
      <c r="B48" s="3" t="s">
        <v>89</v>
      </c>
      <c r="C48" t="s">
        <v>90</v>
      </c>
      <c r="D48" s="4">
        <v>23276.400000000001</v>
      </c>
      <c r="E48" s="5">
        <v>4693.5</v>
      </c>
      <c r="F48">
        <v>10</v>
      </c>
      <c r="G48" s="6">
        <f>E48/D48</f>
        <v>0.20164200649584987</v>
      </c>
    </row>
    <row r="49" spans="1:9">
      <c r="A49" s="3"/>
      <c r="B49" s="3"/>
      <c r="C49" t="s">
        <v>91</v>
      </c>
      <c r="D49" s="4">
        <v>3673.23</v>
      </c>
      <c r="E49" s="5">
        <v>1035</v>
      </c>
      <c r="F49">
        <v>2</v>
      </c>
      <c r="G49" s="6">
        <f>E49/D49</f>
        <v>0.28176836190491744</v>
      </c>
    </row>
    <row r="50" spans="1:9">
      <c r="A50" s="3"/>
      <c r="B50" s="3" t="s">
        <v>92</v>
      </c>
      <c r="C50" t="s">
        <v>93</v>
      </c>
      <c r="D50" s="4">
        <v>2376.46</v>
      </c>
      <c r="E50" s="5">
        <v>1170</v>
      </c>
      <c r="F50">
        <v>2</v>
      </c>
      <c r="G50" s="15">
        <f>E50/D50</f>
        <v>0.49232892621798807</v>
      </c>
    </row>
    <row r="51" spans="1:9">
      <c r="A51" s="7" t="s">
        <v>94</v>
      </c>
      <c r="B51" s="7"/>
      <c r="C51" s="7"/>
      <c r="D51" s="4">
        <v>31991.21</v>
      </c>
      <c r="E51" s="8">
        <v>6898.5</v>
      </c>
      <c r="F51" s="7">
        <v>14</v>
      </c>
      <c r="G51" s="9">
        <f>E51/D51</f>
        <v>0.21563735788674451</v>
      </c>
      <c r="H51" t="s">
        <v>95</v>
      </c>
    </row>
    <row r="52" spans="1:9">
      <c r="A52" s="3" t="s">
        <v>96</v>
      </c>
      <c r="B52" s="3" t="s">
        <v>97</v>
      </c>
      <c r="C52" t="s">
        <v>98</v>
      </c>
      <c r="D52" s="4">
        <v>7706.97</v>
      </c>
      <c r="E52" s="5">
        <v>1035</v>
      </c>
      <c r="F52">
        <v>2</v>
      </c>
      <c r="G52" s="6">
        <f>E52/D52</f>
        <v>0.13429402216435252</v>
      </c>
    </row>
    <row r="53" spans="1:9">
      <c r="A53" s="3"/>
      <c r="B53" s="3"/>
      <c r="C53" t="s">
        <v>99</v>
      </c>
      <c r="D53" s="4">
        <v>12404.65</v>
      </c>
      <c r="E53" s="5">
        <v>4027.5</v>
      </c>
      <c r="F53">
        <v>7</v>
      </c>
      <c r="G53" s="15">
        <f>E53/D53</f>
        <v>0.3246766333592645</v>
      </c>
    </row>
    <row r="54" spans="1:9">
      <c r="A54" s="3"/>
      <c r="B54" s="3" t="s">
        <v>100</v>
      </c>
      <c r="C54" t="s">
        <v>101</v>
      </c>
      <c r="D54" s="4">
        <v>4862.12</v>
      </c>
      <c r="E54" s="5">
        <v>517.5</v>
      </c>
      <c r="F54">
        <v>1</v>
      </c>
      <c r="G54" s="6">
        <f>E54/D54</f>
        <v>0.10643505302213849</v>
      </c>
    </row>
    <row r="55" spans="1:9">
      <c r="A55" s="7" t="s">
        <v>102</v>
      </c>
      <c r="B55" s="7"/>
      <c r="C55" s="7"/>
      <c r="D55" s="4">
        <v>29614.23</v>
      </c>
      <c r="E55" s="8">
        <v>7267.5</v>
      </c>
      <c r="F55" s="7">
        <v>13</v>
      </c>
      <c r="G55" s="9">
        <f>E55/D55</f>
        <v>0.24540567153020693</v>
      </c>
    </row>
    <row r="56" spans="1:9">
      <c r="A56" s="3" t="s">
        <v>103</v>
      </c>
      <c r="B56" s="3" t="s">
        <v>104</v>
      </c>
      <c r="C56" t="s">
        <v>105</v>
      </c>
      <c r="D56" s="10">
        <v>12630.97</v>
      </c>
      <c r="E56" s="5">
        <v>2857.5</v>
      </c>
      <c r="F56">
        <v>5</v>
      </c>
      <c r="G56" s="6">
        <f>E56/D56</f>
        <v>0.2262296561546738</v>
      </c>
    </row>
    <row r="57" spans="1:9">
      <c r="A57" s="7" t="s">
        <v>106</v>
      </c>
      <c r="B57" s="7"/>
      <c r="C57" s="7"/>
      <c r="D57" s="10">
        <v>13724.04</v>
      </c>
      <c r="E57" s="8">
        <v>2857.5</v>
      </c>
      <c r="F57" s="7">
        <v>5</v>
      </c>
      <c r="G57" s="9">
        <f>E57/D57</f>
        <v>0.20821128472374023</v>
      </c>
      <c r="H57" t="s">
        <v>107</v>
      </c>
    </row>
    <row r="58" spans="1:9">
      <c r="A58" s="3" t="s">
        <v>108</v>
      </c>
      <c r="B58" s="3" t="s">
        <v>109</v>
      </c>
      <c r="C58" t="s">
        <v>86</v>
      </c>
      <c r="D58" s="11">
        <v>1851.56</v>
      </c>
      <c r="E58" s="5">
        <v>1822.5</v>
      </c>
      <c r="F58">
        <v>3</v>
      </c>
      <c r="G58" s="15">
        <f>E58/D58</f>
        <v>0.98430512648793456</v>
      </c>
      <c r="H58" t="s">
        <v>110</v>
      </c>
    </row>
    <row r="59" spans="1:9">
      <c r="A59" s="3"/>
      <c r="B59" s="3" t="s">
        <v>111</v>
      </c>
      <c r="C59" t="s">
        <v>23</v>
      </c>
      <c r="D59" s="10">
        <v>4224.53</v>
      </c>
      <c r="E59" s="5">
        <v>567</v>
      </c>
      <c r="F59">
        <v>2</v>
      </c>
      <c r="G59" s="17">
        <f>E59/D59</f>
        <v>0.13421611398191041</v>
      </c>
      <c r="H59" t="s">
        <v>112</v>
      </c>
      <c r="I59" t="s">
        <v>26</v>
      </c>
    </row>
    <row r="60" spans="1:9">
      <c r="A60" s="3"/>
      <c r="B60" s="3" t="s">
        <v>113</v>
      </c>
      <c r="C60" t="s">
        <v>113</v>
      </c>
      <c r="D60" s="10">
        <v>2083.16</v>
      </c>
      <c r="E60" s="5">
        <v>76.5</v>
      </c>
      <c r="F60">
        <v>1</v>
      </c>
      <c r="G60" s="6">
        <f>E60/D60</f>
        <v>3.6723055358205803E-2</v>
      </c>
      <c r="H60" t="s">
        <v>114</v>
      </c>
    </row>
    <row r="61" spans="1:9">
      <c r="A61" s="7" t="s">
        <v>115</v>
      </c>
      <c r="B61" s="7"/>
      <c r="C61" s="7"/>
      <c r="D61" s="10">
        <v>8159.25</v>
      </c>
      <c r="E61" s="8">
        <v>2466</v>
      </c>
      <c r="F61" s="7">
        <v>6</v>
      </c>
      <c r="G61" s="14">
        <f>E61/D61</f>
        <v>0.30223366118209394</v>
      </c>
      <c r="H61" t="s">
        <v>116</v>
      </c>
      <c r="I61" t="s">
        <v>26</v>
      </c>
    </row>
    <row r="62" spans="1:9">
      <c r="A62" s="12" t="s">
        <v>117</v>
      </c>
      <c r="B62" s="12"/>
      <c r="C62" s="12"/>
      <c r="D62" s="13"/>
      <c r="E62" s="13">
        <v>99990</v>
      </c>
      <c r="F62" s="12">
        <v>203</v>
      </c>
      <c r="G62" s="6" t="e">
        <f>E62/D62</f>
        <v>#DIV/0!</v>
      </c>
    </row>
  </sheetData>
  <pageMargins left="0.7" right="0.7" top="0.75" bottom="0.75" header="0.3" footer="0.3"/>
  <ignoredErrors>
    <ignoredError sqref="G1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2026-03-11T20:02:53Z</dcterms:created>
  <dcterms:modified xsi:type="dcterms:W3CDTF">2026-03-18T17:07:28Z</dcterms:modified>
  <cp:category/>
  <cp:contentStatus/>
</cp:coreProperties>
</file>